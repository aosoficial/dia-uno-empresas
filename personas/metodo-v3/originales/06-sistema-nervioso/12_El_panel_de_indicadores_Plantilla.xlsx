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 panel" sheetId="1" state="visible" r:id="rId1"/>
    <sheet xmlns:r="http://schemas.openxmlformats.org/officeDocument/2006/relationships" name="Dic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05070A"/>
      <sz val="9"/>
    </font>
    <font>
      <name val="Arial"/>
      <b val="1"/>
      <color rgb="000C6F7F"/>
      <sz val="9"/>
    </font>
    <font>
      <name val="Arial"/>
      <b val="1"/>
      <color rgb="0005070A"/>
      <sz val="16"/>
    </font>
    <font>
      <name val="Arial"/>
      <i val="1"/>
      <color rgb="006A767B"/>
      <sz val="9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color rgb="003A4348"/>
      <sz val="10"/>
    </font>
    <font>
      <name val="Arial"/>
      <b val="1"/>
      <color rgb="0005070A"/>
      <sz val="10"/>
    </font>
    <font>
      <name val="Arial"/>
      <color rgb="000C6F7F"/>
      <sz val="11"/>
    </font>
  </fonts>
  <fills count="9">
    <fill>
      <patternFill/>
    </fill>
    <fill>
      <patternFill patternType="gray125"/>
    </fill>
    <fill>
      <patternFill patternType="solid">
        <fgColor rgb="000C6F7F"/>
      </patternFill>
    </fill>
    <fill>
      <patternFill patternType="solid">
        <fgColor rgb="007A5C99"/>
      </patternFill>
    </fill>
    <fill>
      <patternFill patternType="solid">
        <fgColor rgb="009E4B63"/>
      </patternFill>
    </fill>
    <fill>
      <patternFill patternType="solid">
        <fgColor rgb="003E7C5A"/>
      </patternFill>
    </fill>
    <fill>
      <patternFill patternType="solid">
        <fgColor rgb="00B07A2E"/>
      </patternFill>
    </fill>
    <fill>
      <patternFill patternType="solid">
        <fgColor rgb="002E6B8F"/>
      </patternFill>
    </fill>
    <fill>
      <patternFill patternType="solid">
        <fgColor rgb="00F3EEDC"/>
      </patternFill>
    </fill>
  </fills>
  <borders count="6">
    <border>
      <left/>
      <right/>
      <top/>
      <bottom/>
      <diagonal/>
    </border>
    <border>
      <left style="thin">
        <color rgb="00D5DCDD"/>
      </left>
      <right style="thin">
        <color rgb="00D5DCDD"/>
      </right>
      <top style="thin">
        <color rgb="00D5DCDD"/>
      </top>
      <bottom style="thin">
        <color rgb="00D5DCDD"/>
      </bottom>
    </border>
    <border>
      <left/>
      <right/>
      <top style="thin">
        <color rgb="00D5DCDD"/>
      </top>
      <bottom/>
      <diagonal/>
    </border>
    <border>
      <left/>
      <right style="thin">
        <color rgb="00D5DCDD"/>
      </right>
      <top style="thin">
        <color rgb="00D5DCDD"/>
      </top>
      <bottom/>
      <diagonal/>
    </border>
    <border>
      <left/>
      <right/>
      <top style="thin">
        <color rgb="00D5DCDD"/>
      </top>
      <bottom style="thin">
        <color rgb="00D5DCDD"/>
      </bottom>
      <diagonal/>
    </border>
    <border>
      <left/>
      <right style="thin">
        <color rgb="00D5DCDD"/>
      </right>
      <top style="thin">
        <color rgb="00D5DCDD"/>
      </top>
      <bottom style="thin">
        <color rgb="00D5DCDD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2" borderId="0" pivotButton="0" quotePrefix="0" xfId="0"/>
    <xf numFmtId="0" fontId="0" fillId="2" borderId="0" pivotButton="0" quotePrefix="0" xfId="0"/>
    <xf numFmtId="0" fontId="7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164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6" fillId="3" borderId="0" pivotButton="0" quotePrefix="0" xfId="0"/>
    <xf numFmtId="0" fontId="0" fillId="3" borderId="0" pivotButton="0" quotePrefix="0" xfId="0"/>
    <xf numFmtId="0" fontId="7" fillId="3" borderId="1" applyAlignment="1" pivotButton="0" quotePrefix="0" xfId="0">
      <alignment horizontal="center" vertical="center"/>
    </xf>
    <xf numFmtId="0" fontId="6" fillId="4" borderId="0" pivotButton="0" quotePrefix="0" xfId="0"/>
    <xf numFmtId="0" fontId="0" fillId="4" borderId="0" pivotButton="0" quotePrefix="0" xfId="0"/>
    <xf numFmtId="0" fontId="7" fillId="4" borderId="1" applyAlignment="1" pivotButton="0" quotePrefix="0" xfId="0">
      <alignment horizontal="center" vertical="center"/>
    </xf>
    <xf numFmtId="0" fontId="6" fillId="5" borderId="0" pivotButton="0" quotePrefix="0" xfId="0"/>
    <xf numFmtId="0" fontId="0" fillId="5" borderId="0" pivotButton="0" quotePrefix="0" xfId="0"/>
    <xf numFmtId="0" fontId="7" fillId="5" borderId="1" applyAlignment="1" pivotButton="0" quotePrefix="0" xfId="0">
      <alignment horizontal="center" vertical="center"/>
    </xf>
    <xf numFmtId="0" fontId="6" fillId="6" borderId="0" pivotButton="0" quotePrefix="0" xfId="0"/>
    <xf numFmtId="0" fontId="0" fillId="6" borderId="0" pivotButton="0" quotePrefix="0" xfId="0"/>
    <xf numFmtId="0" fontId="7" fillId="6" borderId="1" applyAlignment="1" pivotButton="0" quotePrefix="0" xfId="0">
      <alignment horizontal="center" vertical="center"/>
    </xf>
    <xf numFmtId="0" fontId="6" fillId="7" borderId="0" pivotButton="0" quotePrefix="0" xfId="0"/>
    <xf numFmtId="0" fontId="0" fillId="7" borderId="0" pivotButton="0" quotePrefix="0" xfId="0"/>
    <xf numFmtId="0" fontId="7" fillId="7" borderId="1" applyAlignment="1" pivotButton="0" quotePrefix="0" xfId="0">
      <alignment horizontal="center" vertical="center"/>
    </xf>
    <xf numFmtId="0" fontId="8" fillId="8" borderId="1" pivotButton="0" quotePrefix="0" xfId="0"/>
    <xf numFmtId="0" fontId="0" fillId="8" borderId="1" pivotButton="0" quotePrefix="0" xfId="0"/>
    <xf numFmtId="0" fontId="7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U34"/>
  <sheetViews>
    <sheetView showGridLines="0" workbookViewId="0">
      <pane xSplit="9" ySplit="8" topLeftCell="J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30" customWidth="1" min="3" max="3"/>
    <col width="12" customWidth="1" min="4" max="4"/>
    <col width="9" customWidth="1" min="5" max="5"/>
    <col width="6" customWidth="1" min="6" max="6"/>
    <col width="9" customWidth="1" min="7" max="7"/>
    <col width="5" customWidth="1" min="8" max="8"/>
    <col width="13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</cols>
  <sheetData>
    <row r="1">
      <c r="A1" s="1" t="inlineStr">
        <is>
          <t>DÍA UNO  ·  SISTEMA OPERATIVO HÍBRIDO</t>
        </is>
      </c>
    </row>
    <row r="2">
      <c r="A2" s="2" t="inlineStr">
        <is>
          <t>Capa Sistema Nervioso · Herramienta 12 · Plantilla</t>
        </is>
      </c>
    </row>
    <row r="3">
      <c r="A3" s="3" t="inlineStr">
        <is>
          <t>El panel de indicadores — vista semanal</t>
        </is>
      </c>
    </row>
    <row r="4">
      <c r="A4" s="4" t="inlineStr">
        <is>
          <t>Cada indicador con su ventana de 12 semanas, su media, su tendencia (curva) y su flecha Δ. Comprimible por departamento (usa los [-]/[+] de la izquierda). Definición única de cada número en la hoja «Diccionario».</t>
        </is>
      </c>
    </row>
    <row r="6" ht="62" customHeight="1">
      <c r="A6" s="5" t="inlineStr">
        <is>
          <t>CÓMO USARLA.  Una fila por indicador, agrupada por departamento (pliega/despliega cada bloque con el esquema de la izquierda). Tipo: P = predictivo (lo empujas esta semana) · R = resultado (ya ocurrió). Rellena las 12 columnas semanales; la Media (col. G) y la Tendencia (col. I, la curva) se calculan solas. Δ compara la última semana con la media. Cada semana entra una nueva y sale la más antigua (ventana móvil de 12). El rojo dispara acción (10) o revisa el hito (9).</t>
        </is>
      </c>
    </row>
    <row r="8">
      <c r="A8" s="6" t="inlineStr">
        <is>
          <t>Depto</t>
        </is>
      </c>
      <c r="B8" s="6" t="inlineStr">
        <is>
          <t>Tipo</t>
        </is>
      </c>
      <c r="C8" s="6" t="inlineStr">
        <is>
          <t>KPI</t>
        </is>
      </c>
      <c r="D8" s="6" t="inlineStr">
        <is>
          <t>Dueño</t>
        </is>
      </c>
      <c r="E8" s="6" t="inlineStr">
        <is>
          <t>Objetivo</t>
        </is>
      </c>
      <c r="F8" s="6" t="inlineStr">
        <is>
          <t>Ud</t>
        </is>
      </c>
      <c r="G8" s="6" t="inlineStr">
        <is>
          <t>Media</t>
        </is>
      </c>
      <c r="H8" s="6" t="inlineStr">
        <is>
          <t>Δ</t>
        </is>
      </c>
      <c r="I8" s="6" t="inlineStr">
        <is>
          <t>Tendencia</t>
        </is>
      </c>
      <c r="J8" s="6" t="inlineStr">
        <is>
          <t>S1</t>
        </is>
      </c>
      <c r="K8" s="6" t="inlineStr">
        <is>
          <t>S2</t>
        </is>
      </c>
      <c r="L8" s="6" t="inlineStr">
        <is>
          <t>S3</t>
        </is>
      </c>
      <c r="M8" s="6" t="inlineStr">
        <is>
          <t>S4</t>
        </is>
      </c>
      <c r="N8" s="6" t="inlineStr">
        <is>
          <t>S5</t>
        </is>
      </c>
      <c r="O8" s="6" t="inlineStr">
        <is>
          <t>S6</t>
        </is>
      </c>
      <c r="P8" s="6" t="inlineStr">
        <is>
          <t>S7</t>
        </is>
      </c>
      <c r="Q8" s="6" t="inlineStr">
        <is>
          <t>S8</t>
        </is>
      </c>
      <c r="R8" s="6" t="inlineStr">
        <is>
          <t>S9</t>
        </is>
      </c>
      <c r="S8" s="6" t="inlineStr">
        <is>
          <t>S10</t>
        </is>
      </c>
      <c r="T8" s="6" t="inlineStr">
        <is>
          <t>S11</t>
        </is>
      </c>
      <c r="U8" s="6" t="inlineStr">
        <is>
          <t>S12</t>
        </is>
      </c>
    </row>
    <row r="9">
      <c r="A9" s="7" t="inlineStr">
        <is>
          <t>NORTE (North Star)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</row>
    <row r="10" outlineLevel="1">
      <c r="A10" s="9" t="inlineStr"/>
      <c r="B10" s="10" t="inlineStr">
        <is>
          <t>R</t>
        </is>
      </c>
      <c r="C10" s="11" t="inlineStr">
        <is>
          <t>Valor creado (media 8 sem)</t>
        </is>
      </c>
      <c r="D10" s="10" t="inlineStr">
        <is>
          <t>Fin.</t>
        </is>
      </c>
      <c r="E10" s="10" t="inlineStr">
        <is>
          <t>≥20%</t>
        </is>
      </c>
      <c r="F10" s="10" t="inlineStr">
        <is>
          <t>%</t>
        </is>
      </c>
      <c r="G10" s="12">
        <f>IFERROR(AVERAGE(J10:U10),"")</f>
        <v/>
      </c>
      <c r="H10" s="13">
        <f>IFERROR(IF(U10&gt;G10,"▲",IF(U10&lt;G10,"▼","→")),"–")</f>
        <v/>
      </c>
      <c r="I10" s="14" t="n"/>
      <c r="J10" s="15" t="n">
        <v>8</v>
      </c>
      <c r="K10" s="15" t="n">
        <v>10</v>
      </c>
      <c r="L10" s="15" t="n">
        <v>16</v>
      </c>
      <c r="M10" s="15" t="n">
        <v>47</v>
      </c>
      <c r="N10" s="15" t="n">
        <v>63</v>
      </c>
      <c r="O10" s="15" t="n">
        <v>60</v>
      </c>
      <c r="P10" s="15" t="n">
        <v>116</v>
      </c>
      <c r="Q10" s="15" t="n">
        <v>132</v>
      </c>
      <c r="R10" s="15" t="n">
        <v>132</v>
      </c>
      <c r="S10" s="15" t="n">
        <v>132</v>
      </c>
      <c r="T10" s="15" t="n">
        <v>15</v>
      </c>
      <c r="U10" s="15" t="n">
        <v>15</v>
      </c>
    </row>
    <row r="11" outlineLevel="1">
      <c r="A11" s="9" t="inlineStr"/>
      <c r="B11" s="10" t="inlineStr">
        <is>
          <t>R</t>
        </is>
      </c>
      <c r="C11" s="11" t="inlineStr">
        <is>
          <t>Días en mercado (media)</t>
        </is>
      </c>
      <c r="D11" s="10" t="inlineStr">
        <is>
          <t>V. Ventas</t>
        </is>
      </c>
      <c r="E11" s="10" t="inlineStr">
        <is>
          <t>≤30</t>
        </is>
      </c>
      <c r="F11" s="10" t="inlineStr">
        <is>
          <t>días</t>
        </is>
      </c>
      <c r="G11" s="12">
        <f>IFERROR(AVERAGE(J11:U11),"")</f>
        <v/>
      </c>
      <c r="H11" s="13">
        <f>IFERROR(IF(U11&gt;G11,"▲",IF(U11&lt;G11,"▼","→")),"–")</f>
        <v/>
      </c>
      <c r="I11" s="14" t="n"/>
      <c r="J11" s="15" t="n">
        <v>38</v>
      </c>
      <c r="K11" s="15" t="n">
        <v>45</v>
      </c>
      <c r="L11" s="15" t="n">
        <v>52</v>
      </c>
      <c r="M11" s="15" t="n">
        <v>59</v>
      </c>
      <c r="N11" s="15" t="n">
        <v>50</v>
      </c>
      <c r="O11" s="15" t="n">
        <v>57</v>
      </c>
      <c r="P11" s="15" t="n">
        <v>64</v>
      </c>
      <c r="Q11" s="15" t="n">
        <v>71</v>
      </c>
      <c r="R11" s="15" t="n">
        <v>78</v>
      </c>
      <c r="S11" s="15" t="n">
        <v>69</v>
      </c>
      <c r="T11" s="15" t="n">
        <v>92</v>
      </c>
      <c r="U11" s="15" t="n">
        <v>95</v>
      </c>
    </row>
    <row r="12">
      <c r="A12" s="16" t="inlineStr">
        <is>
          <t>Marketing</t>
        </is>
      </c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</row>
    <row r="13" outlineLevel="1">
      <c r="A13" s="18" t="inlineStr"/>
      <c r="B13" s="10" t="inlineStr">
        <is>
          <t>P</t>
        </is>
      </c>
      <c r="C13" s="11" t="inlineStr">
        <is>
          <t>Leads cualificados / semana</t>
        </is>
      </c>
      <c r="D13" s="10" t="inlineStr">
        <is>
          <t>Mkt</t>
        </is>
      </c>
      <c r="E13" s="10" t="inlineStr">
        <is>
          <t>≥10</t>
        </is>
      </c>
      <c r="F13" s="10" t="inlineStr">
        <is>
          <t>#</t>
        </is>
      </c>
      <c r="G13" s="12">
        <f>IFERROR(AVERAGE(J13:U13),"")</f>
        <v/>
      </c>
      <c r="H13" s="13">
        <f>IFERROR(IF(U13&gt;G13,"▲",IF(U13&lt;G13,"▼","→")),"–")</f>
        <v/>
      </c>
      <c r="I13" s="14" t="n"/>
      <c r="J13" s="15" t="n">
        <v>29</v>
      </c>
      <c r="K13" s="15" t="n">
        <v>32</v>
      </c>
      <c r="L13" s="15" t="n">
        <v>29</v>
      </c>
      <c r="M13" s="15" t="n">
        <v>44</v>
      </c>
      <c r="N13" s="15" t="n">
        <v>49</v>
      </c>
      <c r="O13" s="15" t="n">
        <v>14</v>
      </c>
      <c r="P13" s="15" t="n">
        <v>19</v>
      </c>
      <c r="Q13" s="15" t="n">
        <v>29</v>
      </c>
      <c r="R13" s="15" t="n">
        <v>7</v>
      </c>
      <c r="S13" s="15" t="n">
        <v>15</v>
      </c>
      <c r="T13" s="15" t="n">
        <v>10</v>
      </c>
      <c r="U13" s="15" t="n">
        <v>4</v>
      </c>
    </row>
    <row r="14" outlineLevel="1">
      <c r="A14" s="18" t="inlineStr"/>
      <c r="B14" s="10" t="inlineStr">
        <is>
          <t>P</t>
        </is>
      </c>
      <c r="C14" s="11" t="inlineStr">
        <is>
          <t>Coste por lead</t>
        </is>
      </c>
      <c r="D14" s="10" t="inlineStr">
        <is>
          <t>Mkt</t>
        </is>
      </c>
      <c r="E14" s="10" t="inlineStr">
        <is>
          <t>≤80</t>
        </is>
      </c>
      <c r="F14" s="10" t="inlineStr">
        <is>
          <t>€</t>
        </is>
      </c>
      <c r="G14" s="12">
        <f>IFERROR(AVERAGE(J14:U14),"")</f>
        <v/>
      </c>
      <c r="H14" s="13">
        <f>IFERROR(IF(U14&gt;G14,"▲",IF(U14&lt;G14,"▼","→")),"–")</f>
        <v/>
      </c>
      <c r="I14" s="14" t="n"/>
      <c r="J14" s="15" t="n">
        <v>9</v>
      </c>
      <c r="K14" s="15" t="n">
        <v>8</v>
      </c>
      <c r="L14" s="15" t="n">
        <v>9</v>
      </c>
      <c r="M14" s="15" t="n">
        <v>5</v>
      </c>
      <c r="N14" s="15" t="n">
        <v>5</v>
      </c>
      <c r="O14" s="15" t="n">
        <v>14</v>
      </c>
      <c r="P14" s="15" t="n">
        <v>13</v>
      </c>
      <c r="Q14" s="15" t="n">
        <v>5</v>
      </c>
      <c r="R14" s="15" t="n">
        <v>9</v>
      </c>
      <c r="S14" s="15" t="n">
        <v>11</v>
      </c>
      <c r="T14" s="15" t="n">
        <v>5</v>
      </c>
      <c r="U14" s="15" t="n">
        <v>16</v>
      </c>
    </row>
    <row r="15" outlineLevel="1">
      <c r="A15" s="18" t="inlineStr"/>
      <c r="B15" s="10" t="inlineStr">
        <is>
          <t>P</t>
        </is>
      </c>
      <c r="C15" s="11" t="inlineStr">
        <is>
          <t>Tasa de cualificación</t>
        </is>
      </c>
      <c r="D15" s="10" t="inlineStr">
        <is>
          <t>Mkt</t>
        </is>
      </c>
      <c r="E15" s="10" t="inlineStr">
        <is>
          <t>≥35%</t>
        </is>
      </c>
      <c r="F15" s="10" t="inlineStr">
        <is>
          <t>%</t>
        </is>
      </c>
      <c r="G15" s="12">
        <f>IFERROR(AVERAGE(J15:U15),"")</f>
        <v/>
      </c>
      <c r="H15" s="13">
        <f>IFERROR(IF(U15&gt;G15,"▲",IF(U15&lt;G15,"▼","→")),"–")</f>
        <v/>
      </c>
      <c r="I15" s="14" t="n"/>
      <c r="J15" s="15" t="n">
        <v>25</v>
      </c>
      <c r="K15" s="15" t="n">
        <v>27</v>
      </c>
      <c r="L15" s="15" t="n">
        <v>28</v>
      </c>
      <c r="M15" s="15" t="n">
        <v>37</v>
      </c>
      <c r="N15" s="15" t="n">
        <v>35</v>
      </c>
      <c r="O15" s="15" t="n">
        <v>36</v>
      </c>
      <c r="P15" s="15" t="n">
        <v>47</v>
      </c>
      <c r="Q15" s="15" t="n">
        <v>42</v>
      </c>
      <c r="R15" s="15" t="n">
        <v>21</v>
      </c>
      <c r="S15" s="15" t="n">
        <v>53</v>
      </c>
      <c r="T15" s="15" t="n">
        <v>13</v>
      </c>
      <c r="U15" s="15" t="n">
        <v>16</v>
      </c>
    </row>
    <row r="16">
      <c r="A16" s="19" t="inlineStr">
        <is>
          <t>Ventas</t>
        </is>
      </c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</row>
    <row r="17" outlineLevel="1">
      <c r="A17" s="21" t="inlineStr"/>
      <c r="B17" s="10" t="inlineStr">
        <is>
          <t>P</t>
        </is>
      </c>
      <c r="C17" s="11" t="inlineStr">
        <is>
          <t>Visitas cualificadas / agente / sem</t>
        </is>
      </c>
      <c r="D17" s="10" t="inlineStr">
        <is>
          <t>V. Ventas</t>
        </is>
      </c>
      <c r="E17" s="10" t="inlineStr">
        <is>
          <t>≥7</t>
        </is>
      </c>
      <c r="F17" s="10" t="inlineStr">
        <is>
          <t>#</t>
        </is>
      </c>
      <c r="G17" s="12">
        <f>IFERROR(AVERAGE(J17:U17),"")</f>
        <v/>
      </c>
      <c r="H17" s="13">
        <f>IFERROR(IF(U17&gt;G17,"▲",IF(U17&lt;G17,"▼","→")),"–")</f>
        <v/>
      </c>
      <c r="I17" s="14" t="n"/>
      <c r="J17" s="15" t="n">
        <v>7</v>
      </c>
      <c r="K17" s="15" t="n">
        <v>9</v>
      </c>
      <c r="L17" s="15" t="n">
        <v>9</v>
      </c>
      <c r="M17" s="15" t="n">
        <v>11</v>
      </c>
      <c r="N17" s="15" t="n">
        <v>11</v>
      </c>
      <c r="O17" s="15" t="n">
        <v>13</v>
      </c>
      <c r="P17" s="15" t="n">
        <v>12</v>
      </c>
      <c r="Q17" s="15" t="n">
        <v>12</v>
      </c>
      <c r="R17" s="15" t="n">
        <v>11</v>
      </c>
      <c r="S17" s="15" t="n">
        <v>8</v>
      </c>
      <c r="T17" s="15" t="n">
        <v>9</v>
      </c>
      <c r="U17" s="15" t="n">
        <v>6</v>
      </c>
    </row>
    <row r="18" outlineLevel="1">
      <c r="A18" s="21" t="inlineStr"/>
      <c r="B18" s="10" t="inlineStr">
        <is>
          <t>R</t>
        </is>
      </c>
      <c r="C18" s="11" t="inlineStr">
        <is>
          <t>Arras firmadas / semana</t>
        </is>
      </c>
      <c r="D18" s="10" t="inlineStr">
        <is>
          <t>V. Ventas</t>
        </is>
      </c>
      <c r="E18" s="10" t="inlineStr">
        <is>
          <t>≥1</t>
        </is>
      </c>
      <c r="F18" s="10" t="inlineStr">
        <is>
          <t>#</t>
        </is>
      </c>
      <c r="G18" s="12">
        <f>IFERROR(AVERAGE(J18:U18),"")</f>
        <v/>
      </c>
      <c r="H18" s="13">
        <f>IFERROR(IF(U18&gt;G18,"▲",IF(U18&lt;G18,"▼","→")),"–")</f>
        <v/>
      </c>
      <c r="I18" s="14" t="n"/>
      <c r="J18" s="15" t="n">
        <v>0</v>
      </c>
      <c r="K18" s="15" t="n">
        <v>1</v>
      </c>
      <c r="L18" s="15" t="n">
        <v>0</v>
      </c>
      <c r="M18" s="15" t="n">
        <v>0</v>
      </c>
      <c r="N18" s="15" t="n">
        <v>0</v>
      </c>
      <c r="O18" s="15" t="n">
        <v>0</v>
      </c>
      <c r="P18" s="15" t="n">
        <v>0</v>
      </c>
      <c r="Q18" s="15" t="n">
        <v>0</v>
      </c>
      <c r="R18" s="15" t="n">
        <v>1</v>
      </c>
      <c r="S18" s="15" t="n">
        <v>0</v>
      </c>
      <c r="T18" s="15" t="n">
        <v>0</v>
      </c>
      <c r="U18" s="15" t="n">
        <v>1</v>
      </c>
    </row>
    <row r="19">
      <c r="A19" s="22" t="inlineStr">
        <is>
          <t>Procesos</t>
        </is>
      </c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</row>
    <row r="20" outlineLevel="1">
      <c r="A20" s="24" t="inlineStr"/>
      <c r="B20" s="10" t="inlineStr"/>
      <c r="C20" s="11" t="inlineStr"/>
      <c r="D20" s="10" t="inlineStr"/>
      <c r="E20" s="10" t="inlineStr"/>
      <c r="F20" s="10" t="inlineStr"/>
      <c r="G20" s="12">
        <f>IFERROR(AVERAGE(J20:U20),"")</f>
        <v/>
      </c>
      <c r="H20" s="13">
        <f>IFERROR(IF(U20&gt;G20,"▲",IF(U20&lt;G20,"▼","→")),"–")</f>
        <v/>
      </c>
      <c r="I20" s="14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</row>
    <row r="21" outlineLevel="1">
      <c r="A21" s="24" t="inlineStr"/>
      <c r="B21" s="10" t="inlineStr"/>
      <c r="C21" s="11" t="inlineStr"/>
      <c r="D21" s="10" t="inlineStr"/>
      <c r="E21" s="10" t="inlineStr"/>
      <c r="F21" s="10" t="inlineStr"/>
      <c r="G21" s="12">
        <f>IFERROR(AVERAGE(J21:U21),"")</f>
        <v/>
      </c>
      <c r="H21" s="13">
        <f>IFERROR(IF(U21&gt;G21,"▲",IF(U21&lt;G21,"▼","→")),"–")</f>
        <v/>
      </c>
      <c r="I21" s="14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</row>
    <row r="22">
      <c r="A22" s="25" t="inlineStr">
        <is>
          <t>Personas</t>
        </is>
      </c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</row>
    <row r="23" outlineLevel="1">
      <c r="A23" s="27" t="inlineStr"/>
      <c r="B23" s="10" t="inlineStr"/>
      <c r="C23" s="11" t="inlineStr"/>
      <c r="D23" s="10" t="inlineStr"/>
      <c r="E23" s="10" t="inlineStr"/>
      <c r="F23" s="10" t="inlineStr"/>
      <c r="G23" s="12">
        <f>IFERROR(AVERAGE(J23:U23),"")</f>
        <v/>
      </c>
      <c r="H23" s="13">
        <f>IFERROR(IF(U23&gt;G23,"▲",IF(U23&lt;G23,"▼","→")),"–")</f>
        <v/>
      </c>
      <c r="I23" s="14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</row>
    <row r="24" outlineLevel="1">
      <c r="A24" s="27" t="inlineStr"/>
      <c r="B24" s="10" t="inlineStr"/>
      <c r="C24" s="11" t="inlineStr"/>
      <c r="D24" s="10" t="inlineStr"/>
      <c r="E24" s="10" t="inlineStr"/>
      <c r="F24" s="10" t="inlineStr"/>
      <c r="G24" s="12">
        <f>IFERROR(AVERAGE(J24:U24),"")</f>
        <v/>
      </c>
      <c r="H24" s="13">
        <f>IFERROR(IF(U24&gt;G24,"▲",IF(U24&lt;G24,"▼","→")),"–")</f>
        <v/>
      </c>
      <c r="I24" s="14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</row>
    <row r="25">
      <c r="A25" s="28" t="inlineStr">
        <is>
          <t>Caja</t>
        </is>
      </c>
      <c r="D25" s="29" t="n"/>
      <c r="E25" s="29" t="n"/>
      <c r="F25" s="29" t="n"/>
      <c r="G25" s="29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29" t="n"/>
      <c r="R25" s="29" t="n"/>
      <c r="S25" s="29" t="n"/>
      <c r="T25" s="29" t="n"/>
      <c r="U25" s="29" t="n"/>
    </row>
    <row r="26" outlineLevel="1">
      <c r="A26" s="30" t="inlineStr"/>
      <c r="B26" s="10" t="inlineStr"/>
      <c r="C26" s="11" t="inlineStr"/>
      <c r="D26" s="10" t="inlineStr"/>
      <c r="E26" s="10" t="inlineStr"/>
      <c r="F26" s="10" t="inlineStr"/>
      <c r="G26" s="12">
        <f>IFERROR(AVERAGE(J26:U26),"")</f>
        <v/>
      </c>
      <c r="H26" s="13">
        <f>IFERROR(IF(U26&gt;G26,"▲",IF(U26&lt;G26,"▼","→")),"–")</f>
        <v/>
      </c>
      <c r="I26" s="14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</row>
    <row r="27" outlineLevel="1">
      <c r="A27" s="30" t="inlineStr"/>
      <c r="B27" s="10" t="inlineStr"/>
      <c r="C27" s="11" t="inlineStr"/>
      <c r="D27" s="10" t="inlineStr"/>
      <c r="E27" s="10" t="inlineStr"/>
      <c r="F27" s="10" t="inlineStr"/>
      <c r="G27" s="12">
        <f>IFERROR(AVERAGE(J27:U27),"")</f>
        <v/>
      </c>
      <c r="H27" s="13">
        <f>IFERROR(IF(U27&gt;G27,"▲",IF(U27&lt;G27,"▼","→")),"–")</f>
        <v/>
      </c>
      <c r="I27" s="14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</row>
    <row r="29">
      <c r="A29" s="31" t="inlineStr">
        <is>
          <t>LOS MÍNIMOS — lo innegociable</t>
        </is>
      </c>
      <c r="B29" s="32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</row>
    <row r="30">
      <c r="A30" s="33" t="inlineStr">
        <is>
          <t>•  Pocos números, del tipo correcto: mezcla de RESULTADO (para saber si ganas) y PREDICTIVOS (para poder actuar). Nada de vanidad.</t>
        </is>
      </c>
      <c r="B30" s="34" t="n"/>
      <c r="C30" s="34" t="n"/>
      <c r="D30" s="34" t="n"/>
      <c r="E30" s="34" t="n"/>
      <c r="F30" s="34" t="n"/>
      <c r="G30" s="34" t="n"/>
      <c r="H30" s="34" t="n"/>
      <c r="I30" s="34" t="n"/>
      <c r="J30" s="34" t="n"/>
      <c r="K30" s="34" t="n"/>
      <c r="L30" s="34" t="n"/>
      <c r="M30" s="34" t="n"/>
      <c r="N30" s="34" t="n"/>
      <c r="O30" s="34" t="n"/>
      <c r="P30" s="34" t="n"/>
      <c r="Q30" s="34" t="n"/>
      <c r="R30" s="34" t="n"/>
      <c r="S30" s="34" t="n"/>
      <c r="T30" s="34" t="n"/>
      <c r="U30" s="35" t="n"/>
    </row>
    <row r="31">
      <c r="A31" s="33" t="inlineStr">
        <is>
          <t>•  Cada número con definición única (hoja Diccionario), un dueño con nombre, un objetivo y sus umbrales de color.</t>
        </is>
      </c>
      <c r="B31" s="34" t="n"/>
      <c r="C31" s="34" t="n"/>
      <c r="D31" s="34" t="n"/>
      <c r="E31" s="34" t="n"/>
      <c r="F31" s="34" t="n"/>
      <c r="G31" s="34" t="n"/>
      <c r="H31" s="34" t="n"/>
      <c r="I31" s="34" t="n"/>
      <c r="J31" s="34" t="n"/>
      <c r="K31" s="34" t="n"/>
      <c r="L31" s="34" t="n"/>
      <c r="M31" s="34" t="n"/>
      <c r="N31" s="34" t="n"/>
      <c r="O31" s="34" t="n"/>
      <c r="P31" s="34" t="n"/>
      <c r="Q31" s="34" t="n"/>
      <c r="R31" s="34" t="n"/>
      <c r="S31" s="34" t="n"/>
      <c r="T31" s="34" t="n"/>
      <c r="U31" s="35" t="n"/>
    </row>
    <row r="32">
      <c r="A32" s="33" t="inlineStr">
        <is>
          <t>•  Ventana móvil de 12 semanas, con media, tendencia (curva) y Δ; comprimible por departamento; el rojo dispara acción (10) o revisa el hito (9).</t>
        </is>
      </c>
      <c r="B32" s="34" t="n"/>
      <c r="C32" s="34" t="n"/>
      <c r="D32" s="34" t="n"/>
      <c r="E32" s="34" t="n"/>
      <c r="F32" s="34" t="n"/>
      <c r="G32" s="34" t="n"/>
      <c r="H32" s="34" t="n"/>
      <c r="I32" s="34" t="n"/>
      <c r="J32" s="34" t="n"/>
      <c r="K32" s="34" t="n"/>
      <c r="L32" s="34" t="n"/>
      <c r="M32" s="34" t="n"/>
      <c r="N32" s="34" t="n"/>
      <c r="O32" s="34" t="n"/>
      <c r="P32" s="34" t="n"/>
      <c r="Q32" s="34" t="n"/>
      <c r="R32" s="34" t="n"/>
      <c r="S32" s="34" t="n"/>
      <c r="T32" s="34" t="n"/>
      <c r="U32" s="35" t="n"/>
    </row>
    <row r="34" ht="44" customHeight="1">
      <c r="A34" s="5" t="inlineStr">
        <is>
          <t>La forma final se cierra con Jordi. El panel de caja (08) puede enchufarse como sección financiera si la empresa quiere, o quedar reservado. Un agente (madurez 9-10) mantiene los datos al día, calcula el semáforo y avisa de anomalías. (Sparklines nativos: se ven en Excel; en Google Sheets, usa =SPARKLINE(J:U) por fila.)</t>
        </is>
      </c>
    </row>
  </sheetData>
  <mergeCells count="11">
    <mergeCell ref="A25:C25"/>
    <mergeCell ref="A34:U34"/>
    <mergeCell ref="A19:C19"/>
    <mergeCell ref="A30:U30"/>
    <mergeCell ref="A31:U31"/>
    <mergeCell ref="A22:C22"/>
    <mergeCell ref="A9:C9"/>
    <mergeCell ref="A32:U32"/>
    <mergeCell ref="A12:C12"/>
    <mergeCell ref="A16:C16"/>
    <mergeCell ref="A6:U6"/>
  </mergeCells>
  <conditionalFormatting sqref="J10:U10">
    <cfRule type="colorScale" priority="1">
      <colorScale>
        <cfvo type="min"/>
        <cfvo type="percentile" val="50"/>
        <cfvo type="max"/>
        <color rgb="00F4C7C3"/>
        <color rgb="00FCE8B2"/>
        <color rgb="00C6E0B4"/>
      </colorScale>
    </cfRule>
  </conditionalFormatting>
  <conditionalFormatting sqref="J11:U11">
    <cfRule type="colorScale" priority="2">
      <colorScale>
        <cfvo type="min"/>
        <cfvo type="percentile" val="50"/>
        <cfvo type="max"/>
        <color rgb="00C6E0B4"/>
        <color rgb="00FCE8B2"/>
        <color rgb="00F4C7C3"/>
      </colorScale>
    </cfRule>
  </conditionalFormatting>
  <conditionalFormatting sqref="J13:U13">
    <cfRule type="colorScale" priority="3">
      <colorScale>
        <cfvo type="min"/>
        <cfvo type="percentile" val="50"/>
        <cfvo type="max"/>
        <color rgb="00F4C7C3"/>
        <color rgb="00FCE8B2"/>
        <color rgb="00C6E0B4"/>
      </colorScale>
    </cfRule>
  </conditionalFormatting>
  <conditionalFormatting sqref="J14:U14">
    <cfRule type="colorScale" priority="4">
      <colorScale>
        <cfvo type="min"/>
        <cfvo type="percentile" val="50"/>
        <cfvo type="max"/>
        <color rgb="00C6E0B4"/>
        <color rgb="00FCE8B2"/>
        <color rgb="00F4C7C3"/>
      </colorScale>
    </cfRule>
  </conditionalFormatting>
  <conditionalFormatting sqref="J15:U15">
    <cfRule type="colorScale" priority="5">
      <colorScale>
        <cfvo type="min"/>
        <cfvo type="percentile" val="50"/>
        <cfvo type="max"/>
        <color rgb="00F4C7C3"/>
        <color rgb="00FCE8B2"/>
        <color rgb="00C6E0B4"/>
      </colorScale>
    </cfRule>
  </conditionalFormatting>
  <conditionalFormatting sqref="J17:U17">
    <cfRule type="colorScale" priority="6">
      <colorScale>
        <cfvo type="min"/>
        <cfvo type="percentile" val="50"/>
        <cfvo type="max"/>
        <color rgb="00F4C7C3"/>
        <color rgb="00FCE8B2"/>
        <color rgb="00C6E0B4"/>
      </colorScale>
    </cfRule>
  </conditionalFormatting>
  <conditionalFormatting sqref="J18:U18">
    <cfRule type="colorScale" priority="7">
      <colorScale>
        <cfvo type="min"/>
        <cfvo type="percentile" val="50"/>
        <cfvo type="max"/>
        <color rgb="00F4C7C3"/>
        <color rgb="00FCE8B2"/>
        <color rgb="00C6E0B4"/>
      </colorScale>
    </cfRule>
  </conditionalFormatting>
  <conditionalFormatting sqref="J20:U20">
    <cfRule type="colorScale" priority="8">
      <colorScale>
        <cfvo type="min"/>
        <cfvo type="percentile" val="50"/>
        <cfvo type="max"/>
        <color rgb="00F4C7C3"/>
        <color rgb="00FCE8B2"/>
        <color rgb="00C6E0B4"/>
      </colorScale>
    </cfRule>
  </conditionalFormatting>
  <conditionalFormatting sqref="J21:U21">
    <cfRule type="colorScale" priority="9">
      <colorScale>
        <cfvo type="min"/>
        <cfvo type="percentile" val="50"/>
        <cfvo type="max"/>
        <color rgb="00F4C7C3"/>
        <color rgb="00FCE8B2"/>
        <color rgb="00C6E0B4"/>
      </colorScale>
    </cfRule>
  </conditionalFormatting>
  <conditionalFormatting sqref="J23:U23">
    <cfRule type="colorScale" priority="10">
      <colorScale>
        <cfvo type="min"/>
        <cfvo type="percentile" val="50"/>
        <cfvo type="max"/>
        <color rgb="00F4C7C3"/>
        <color rgb="00FCE8B2"/>
        <color rgb="00C6E0B4"/>
      </colorScale>
    </cfRule>
  </conditionalFormatting>
  <conditionalFormatting sqref="J24:U24">
    <cfRule type="colorScale" priority="11">
      <colorScale>
        <cfvo type="min"/>
        <cfvo type="percentile" val="50"/>
        <cfvo type="max"/>
        <color rgb="00F4C7C3"/>
        <color rgb="00FCE8B2"/>
        <color rgb="00C6E0B4"/>
      </colorScale>
    </cfRule>
  </conditionalFormatting>
  <conditionalFormatting sqref="J26:U26">
    <cfRule type="colorScale" priority="12">
      <colorScale>
        <cfvo type="min"/>
        <cfvo type="percentile" val="50"/>
        <cfvo type="max"/>
        <color rgb="00F4C7C3"/>
        <color rgb="00FCE8B2"/>
        <color rgb="00C6E0B4"/>
      </colorScale>
    </cfRule>
  </conditionalFormatting>
  <conditionalFormatting sqref="J27:U27">
    <cfRule type="colorScale" priority="13">
      <colorScale>
        <cfvo type="min"/>
        <cfvo type="percentile" val="50"/>
        <cfvo type="max"/>
        <color rgb="00F4C7C3"/>
        <color rgb="00FCE8B2"/>
        <color rgb="00C6E0B4"/>
      </colorScale>
    </cfRule>
  </conditionalFormatting>
  <pageMargins left="0.75" right="0.75" top="1" bottom="1" header="0.5" footer="0.5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type="line" lineWeight="1.25">
          <x14:colorSeries rgb="FF0C6F7F"/>
          <x14:colorNegative rgb="FF9E4B63"/>
          <x14:colorMarkers rgb="FF0C6F7F"/>
          <x14:sparklines>
            <x14:sparkline>
              <xm:f>'El panel'!J10:U10</xm:f>
              <xm:sqref>I10</xm:sqref>
            </x14:sparkline>
            <x14:sparkline>
              <xm:f>'El panel'!J11:U11</xm:f>
              <xm:sqref>I11</xm:sqref>
            </x14:sparkline>
            <x14:sparkline>
              <xm:f>'El panel'!J13:U13</xm:f>
              <xm:sqref>I13</xm:sqref>
            </x14:sparkline>
            <x14:sparkline>
              <xm:f>'El panel'!J14:U14</xm:f>
              <xm:sqref>I14</xm:sqref>
            </x14:sparkline>
            <x14:sparkline>
              <xm:f>'El panel'!J15:U15</xm:f>
              <xm:sqref>I15</xm:sqref>
            </x14:sparkline>
            <x14:sparkline>
              <xm:f>'El panel'!J17:U17</xm:f>
              <xm:sqref>I17</xm:sqref>
            </x14:sparkline>
            <x14:sparkline>
              <xm:f>'El panel'!J18:U18</xm:f>
              <xm:sqref>I18</xm:sqref>
            </x14:sparkline>
            <x14:sparkline>
              <xm:f>'El panel'!J20:U20</xm:f>
              <xm:sqref>I20</xm:sqref>
            </x14:sparkline>
            <x14:sparkline>
              <xm:f>'El panel'!J21:U21</xm:f>
              <xm:sqref>I21</xm:sqref>
            </x14:sparkline>
            <x14:sparkline>
              <xm:f>'El panel'!J23:U23</xm:f>
              <xm:sqref>I23</xm:sqref>
            </x14:sparkline>
            <x14:sparkline>
              <xm:f>'El panel'!J24:U24</xm:f>
              <xm:sqref>I24</xm:sqref>
            </x14:sparkline>
            <x14:sparkline>
              <xm:f>'El panel'!J26:U26</xm:f>
              <xm:sqref>I26</xm:sqref>
            </x14:sparkline>
            <x14:sparkline>
              <xm:f>'El panel'!J27:U27</xm:f>
              <xm:sqref>I27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30" customWidth="1" min="3" max="3"/>
  </cols>
  <sheetData>
    <row r="1">
      <c r="A1" s="1" t="inlineStr">
        <is>
          <t>DÍA UNO  ·  SISTEMA OPERATIVO HÍBRIDO</t>
        </is>
      </c>
    </row>
    <row r="2">
      <c r="A2" s="2" t="inlineStr">
        <is>
          <t>Capa Sistema Nervioso · Herramienta 12 · Diccionario de datos</t>
        </is>
      </c>
    </row>
    <row r="3">
      <c r="A3" s="3" t="inlineStr">
        <is>
          <t>La ficha de cada indicador — una definición y solo una</t>
        </is>
      </c>
    </row>
    <row r="4">
      <c r="A4" s="4" t="inlineStr">
        <is>
          <t>La fuente única de verdad. Evita el «cada uno calcula el churn a su manera». Se enlaza desde la casilla del panel: quien duda, mira la ficha y la discusión se acaba.</t>
        </is>
      </c>
    </row>
    <row r="6" ht="40" customHeight="1">
      <c r="A6" s="5" t="inlineStr">
        <is>
          <t>Rellena UNA ficha por indicador del panel. Con 15-20 fichas (las de los números que provocan discusiones) cubres el 90% de las peleas. Ejemplo relleno abajo.</t>
        </is>
      </c>
    </row>
    <row r="8" ht="30" customHeight="1">
      <c r="A8" s="36" t="inlineStr">
        <is>
          <t>Nombre canónico</t>
        </is>
      </c>
      <c r="B8" s="37" t="inlineStr">
        <is>
          <t>Leads cualificados / semana</t>
        </is>
      </c>
      <c r="C8" s="35" t="n"/>
    </row>
    <row r="9" ht="30" customHeight="1">
      <c r="A9" s="36" t="inlineStr">
        <is>
          <t>Qué significa (negocio)</t>
        </is>
      </c>
      <c r="B9" s="37" t="inlineStr">
        <is>
          <t>Contactos que cumplen los criterios de cualificación, generados en la semana</t>
        </is>
      </c>
      <c r="C9" s="35" t="n"/>
    </row>
    <row r="10" ht="30" customHeight="1">
      <c r="A10" s="36" t="inlineStr">
        <is>
          <t>Fórmula exacta</t>
        </is>
      </c>
      <c r="B10" s="37" t="inlineStr">
        <is>
          <t>COUNT(leads con estado='cualificado' y fecha en la semana en curso)</t>
        </is>
      </c>
      <c r="C10" s="35" t="n"/>
    </row>
    <row r="11" ht="30" customHeight="1">
      <c r="A11" s="36" t="inlineStr">
        <is>
          <t>Fuente del dato</t>
        </is>
      </c>
      <c r="B11" s="37" t="inlineStr">
        <is>
          <t>CRM · objeto Lead · campo estado</t>
        </is>
      </c>
      <c r="C11" s="35" t="n"/>
    </row>
    <row r="12" ht="30" customHeight="1">
      <c r="A12" s="36" t="inlineStr">
        <is>
          <t>Incluye / Excluye</t>
        </is>
      </c>
      <c r="B12" s="37" t="inlineStr">
        <is>
          <t>Incluye: leads inbound y outbound cualificados. Excluye: sin cualificar, duplicados, internos</t>
        </is>
      </c>
      <c r="C12" s="35" t="n"/>
    </row>
    <row r="13" ht="30" customHeight="1">
      <c r="A13" s="36" t="inlineStr">
        <is>
          <t>Grano / base temporal</t>
        </is>
      </c>
      <c r="B13" s="37" t="inlineStr">
        <is>
          <t>Por fecha de cualificación; semana natural lun-dom</t>
        </is>
      </c>
      <c r="C13" s="35" t="n"/>
    </row>
    <row r="14" ht="30" customHeight="1">
      <c r="A14" s="36" t="inlineStr">
        <is>
          <t>Unidad</t>
        </is>
      </c>
      <c r="B14" s="37" t="inlineStr">
        <is>
          <t>Nº de leads</t>
        </is>
      </c>
      <c r="C14" s="35" t="n"/>
    </row>
    <row r="15" ht="30" customHeight="1">
      <c r="A15" s="36" t="inlineStr">
        <is>
          <t>Frecuencia</t>
        </is>
      </c>
      <c r="B15" s="37" t="inlineStr">
        <is>
          <t>Semanal</t>
        </is>
      </c>
      <c r="C15" s="35" t="n"/>
    </row>
    <row r="16" ht="30" customHeight="1">
      <c r="A16" s="36" t="inlineStr">
        <is>
          <t>Objetivo y umbrales</t>
        </is>
      </c>
      <c r="B16" s="37" t="inlineStr">
        <is>
          <t>Objetivo ≥10/sem · 🟡 &lt;10 · 🔴 &lt;7</t>
        </is>
      </c>
      <c r="C16" s="35" t="n"/>
    </row>
    <row r="17" ht="30" customHeight="1">
      <c r="A17" s="36" t="inlineStr">
        <is>
          <t>Dueño único</t>
        </is>
      </c>
      <c r="B17" s="37" t="inlineStr">
        <is>
          <t>(responsable de marketing)</t>
        </is>
      </c>
      <c r="C17" s="35" t="n"/>
    </row>
    <row r="18" ht="30" customHeight="1">
      <c r="A18" s="36" t="inlineStr">
        <is>
          <t>Tipo</t>
        </is>
      </c>
      <c r="B18" s="37" t="inlineStr">
        <is>
          <t>Predictivo (P)</t>
        </is>
      </c>
      <c r="C18" s="35" t="n"/>
    </row>
    <row r="19" ht="30" customHeight="1">
      <c r="A19" s="36" t="inlineStr">
        <is>
          <t>Limitaciones conocidas</t>
        </is>
      </c>
      <c r="B19" s="37" t="inlineStr">
        <is>
          <t>Depende de que se marque bien el estado en el CRM</t>
        </is>
      </c>
      <c r="C19" s="35" t="n"/>
    </row>
    <row r="20" ht="30" customHeight="1">
      <c r="A20" s="36" t="inlineStr">
        <is>
          <t>Historial de definición</t>
        </is>
      </c>
      <c r="B20" s="37" t="inlineStr">
        <is>
          <t>v1 (fecha): definición inicial. — anota cada cambio para no fabricar falsas rupturas de tendencia</t>
        </is>
      </c>
      <c r="C20" s="35" t="n"/>
    </row>
    <row r="22" ht="44" customHeight="1">
      <c r="A22" s="5" t="inlineStr">
        <is>
          <t>El valor de la ficha: cuando alguien discute un número, no se abre debate — se abre esta ficha. La fórmula y el «incluye/excluye» zanjan el 90% de las discrepancias. Un mismo indicador, una sola definición, en todos los paneles.</t>
        </is>
      </c>
    </row>
  </sheetData>
  <mergeCells count="15">
    <mergeCell ref="B13:C13"/>
    <mergeCell ref="B16:C16"/>
    <mergeCell ref="B15:C15"/>
    <mergeCell ref="B11:C11"/>
    <mergeCell ref="B19:C19"/>
    <mergeCell ref="B20:C20"/>
    <mergeCell ref="B10:C10"/>
    <mergeCell ref="A6:C6"/>
    <mergeCell ref="A22:C22"/>
    <mergeCell ref="B14:C14"/>
    <mergeCell ref="B17:C17"/>
    <mergeCell ref="B9:C9"/>
    <mergeCell ref="B8:C8"/>
    <mergeCell ref="B18:C18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2026-08-10T06:56:52Z</dcterms:created>
  <dcterms:modified xmlns:dcterms="http://purl.org/dc/terms/" xmlns:xsi="http://www.w3.org/2001/XMLSchema-instance" xsi:type="dcterms:W3CDTF">2026-08-10T06:56:52Z</dcterms:modified>
</cp:coreProperties>
</file>